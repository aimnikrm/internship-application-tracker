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ersonal\intern degree\"/>
    </mc:Choice>
  </mc:AlternateContent>
  <xr:revisionPtr revIDLastSave="0" documentId="13_ncr:1_{11E284F0-859D-44DF-8A8A-553E2BA106DD}" xr6:coauthVersionLast="47" xr6:coauthVersionMax="47" xr10:uidLastSave="{00000000-0000-0000-0000-000000000000}"/>
  <bookViews>
    <workbookView xWindow="-120" yWindow="-120" windowWidth="20730" windowHeight="11040" xr2:uid="{800B358E-48FF-4175-9C60-D3027C67F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F5" i="1"/>
  <c r="D5" i="1"/>
  <c r="A5" i="1"/>
  <c r="H12" i="1"/>
  <c r="H11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<sst xmlns="http://schemas.openxmlformats.org/spreadsheetml/2006/main" count="38" uniqueCount="34">
  <si>
    <t>ID</t>
  </si>
  <si>
    <t>Company Name</t>
  </si>
  <si>
    <t>Location</t>
  </si>
  <si>
    <t>Job Position</t>
  </si>
  <si>
    <t>Work Mode</t>
  </si>
  <si>
    <t>Application Date</t>
  </si>
  <si>
    <t>Source</t>
  </si>
  <si>
    <t>Status</t>
  </si>
  <si>
    <t>Follow-up Date</t>
  </si>
  <si>
    <t>Contact Person</t>
  </si>
  <si>
    <t>Job Link</t>
  </si>
  <si>
    <t>Notes</t>
  </si>
  <si>
    <t>INTERNSHIP APPLICATION TRACKER</t>
  </si>
  <si>
    <t xml:space="preserve">Internship application overview for 15/3/2027-18/6/2027 </t>
  </si>
  <si>
    <t>APPLICATION RECORDS</t>
  </si>
  <si>
    <t>On-site</t>
  </si>
  <si>
    <t>ABC2</t>
  </si>
  <si>
    <t>ABC3</t>
  </si>
  <si>
    <t>ABC1</t>
  </si>
  <si>
    <t>Selangor</t>
  </si>
  <si>
    <t>Pahang</t>
  </si>
  <si>
    <t>State</t>
  </si>
  <si>
    <t>Applied</t>
  </si>
  <si>
    <t>Interview</t>
  </si>
  <si>
    <t>Accepted</t>
  </si>
  <si>
    <t>Rejected</t>
  </si>
  <si>
    <t>Total Applied</t>
  </si>
  <si>
    <t>Sum</t>
  </si>
  <si>
    <t>Average</t>
  </si>
  <si>
    <t>Running Total</t>
  </si>
  <si>
    <t>Count</t>
  </si>
  <si>
    <t>123 Shah Alam</t>
  </si>
  <si>
    <t>456 Cyberjaya</t>
  </si>
  <si>
    <t>789 Kuantan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</si>
</sst>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2"/>
      <color theme="3"/>
      <name val="Aptos Narrow"/>
      <family val="2"/>
      <scheme val="minor"/>
    </font>
    <font>
      <b/>
      <sz val="22"/>
      <color rgb="FFFFC000"/>
      <name val="Aptos Narrow"/>
      <family val="2"/>
      <scheme val="minor"/>
    </font>
    <font>
      <b/>
      <sz val="22"/>
      <color theme="6" tint="-0.249977111117893"/>
      <name val="Aptos Narrow"/>
      <family val="2"/>
      <scheme val="minor"/>
    </font>
    <font>
      <b/>
      <sz val="2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3F5F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theme="3"/>
      </bottom>
      <diagonal/>
    </border>
    <border>
      <left/>
      <right/>
      <top/>
      <bottom style="medium">
        <color theme="6" tint="-0.249977111117893"/>
      </bottom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C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6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FFC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 style="thin">
        <color theme="0"/>
      </right>
      <top style="medium">
        <color theme="3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medium">
        <color rgb="FFFFC000"/>
      </top>
      <bottom/>
      <diagonal/>
    </border>
    <border>
      <left/>
      <right style="thin">
        <color theme="0"/>
      </right>
      <top style="medium">
        <color rgb="FFFFC00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medium">
        <color theme="6" tint="-0.249977111117893"/>
      </top>
      <bottom/>
      <diagonal/>
    </border>
    <border>
      <left/>
      <right/>
      <top style="medium">
        <color theme="6" tint="-0.249977111117893"/>
      </top>
      <bottom/>
      <diagonal/>
    </border>
    <border>
      <left/>
      <right style="thin">
        <color theme="0"/>
      </right>
      <top style="medium">
        <color theme="6" tint="-0.249977111117893"/>
      </top>
      <bottom/>
      <diagonal/>
    </border>
    <border>
      <left style="thin">
        <color theme="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thin">
        <color theme="0"/>
      </right>
      <top style="medium">
        <color rgb="FFC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3F5F9"/>
      <color rgb="FFFFFF99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A1F37-DF9E-4E98-802F-DA1045C31A54}" name="InternshipTable" displayName="InternshipTable" ref="A10:M20" totalsRowShown="0" headerRowDxfId="0">
  <autoFilter ref="A10:M20" xr:uid="{632A1F37-DF9E-4E98-802F-DA1045C31A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EBD1AEC-0299-4B69-A111-73C1262F77D4}" name="ID" dataDxfId="11"/>
    <tableColumn id="2" xr3:uid="{2A76AD6E-C03D-4E37-965F-5CDCAEF1FD29}" name="Company Name"/>
    <tableColumn id="3" xr3:uid="{8C22268A-8D99-4D26-AAEE-0BF8CFA457B3}" name="State" dataDxfId="10"/>
    <tableColumn id="4" xr3:uid="{E556D140-2F7F-4C14-A7F7-F64837EB30D7}" name="Location"/>
    <tableColumn id="5" xr3:uid="{02C021F9-18B7-4254-B9CE-6777667C21CB}" name="Job Position"/>
    <tableColumn id="6" xr3:uid="{92C539B7-706B-4439-AAF1-00E420C63F22}" name="Work Mode" dataDxfId="9"/>
    <tableColumn id="7" xr3:uid="{F71E8817-A478-408E-A25B-8A85D72E4AFC}" name="Application Date" dataDxfId="8"/>
    <tableColumn id="8" xr3:uid="{0B305FCE-62E3-42A9-B587-4CDE5DA6033A}" name="Follow-up Date" dataDxfId="7">
      <calculatedColumnFormula>IF(G11="","",G11+7)</calculatedColumnFormula>
    </tableColumn>
    <tableColumn id="9" xr3:uid="{22C38811-9064-4688-B4F8-46CBE694FF93}" name="Status" dataDxfId="6"/>
    <tableColumn id="10" xr3:uid="{0FF3DAB8-AA30-41AB-9761-ECDD2DC04A1D}" name="Source"/>
    <tableColumn id="11" xr3:uid="{EDF82B45-10BD-4561-ACA0-43FC20EF8D99}" name="Contact Person"/>
    <tableColumn id="12" xr3:uid="{8DB134C7-610B-4C4E-A870-9FC0690A1F9F}" name="Job Link"/>
    <tableColumn id="13" xr3:uid="{FDA53E7A-38ED-4C7A-BECF-B5FC3C88B5BE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338C-041C-474C-B75F-22F395AFEAF8}">
  <dimension ref="A1:P20"/>
  <sheetViews>
    <sheetView tabSelected="1" zoomScale="88" zoomScaleNormal="85" workbookViewId="0">
      <selection activeCell="H30" sqref="H30"/>
    </sheetView>
  </sheetViews>
  <sheetFormatPr defaultRowHeight="15" x14ac:dyDescent="0.25"/>
  <cols>
    <col min="1" max="1" width="3.28515625" bestFit="1" customWidth="1"/>
    <col min="2" max="2" width="27.140625" customWidth="1"/>
    <col min="3" max="3" width="15.5703125" bestFit="1" customWidth="1"/>
    <col min="4" max="4" width="29.42578125" customWidth="1"/>
    <col min="5" max="5" width="15.42578125" customWidth="1"/>
    <col min="6" max="6" width="12" bestFit="1" customWidth="1"/>
    <col min="7" max="7" width="16.7109375" customWidth="1"/>
    <col min="8" max="8" width="17" bestFit="1" customWidth="1"/>
    <col min="9" max="9" width="9.42578125" customWidth="1"/>
    <col min="10" max="10" width="12.140625" customWidth="1"/>
    <col min="11" max="11" width="29.140625" customWidth="1"/>
    <col min="12" max="12" width="12.42578125" customWidth="1"/>
    <col min="13" max="13" width="16.85546875" customWidth="1"/>
  </cols>
  <sheetData>
    <row r="1" spans="1:16" ht="26.25" x14ac:dyDescent="0.25">
      <c r="A1" s="4" t="s">
        <v>12</v>
      </c>
      <c r="B1" s="4"/>
      <c r="C1" s="4"/>
      <c r="D1" s="4"/>
      <c r="E1" s="4"/>
      <c r="F1" s="3"/>
      <c r="G1" s="3"/>
      <c r="H1" s="3"/>
      <c r="I1" s="3"/>
      <c r="J1" s="3"/>
      <c r="K1" s="3"/>
      <c r="L1" s="3"/>
      <c r="M1" s="3"/>
    </row>
    <row r="2" spans="1:16" x14ac:dyDescent="0.25">
      <c r="A2" s="11" t="s">
        <v>13</v>
      </c>
      <c r="B2" s="11"/>
      <c r="C2" s="11"/>
      <c r="D2" s="11"/>
      <c r="E2" s="11"/>
      <c r="F2" s="9"/>
      <c r="G2" s="9"/>
      <c r="H2" s="9"/>
      <c r="I2" s="9"/>
      <c r="J2" s="9"/>
      <c r="K2" s="9"/>
      <c r="L2" s="9"/>
      <c r="M2" s="9"/>
    </row>
    <row r="3" spans="1:16" ht="15.75" thickBot="1" x14ac:dyDescent="0.3">
      <c r="A3" s="5"/>
      <c r="B3" s="15"/>
      <c r="C3" s="15"/>
      <c r="D3" s="14"/>
      <c r="E3" s="14"/>
      <c r="F3" s="6"/>
      <c r="G3" s="13"/>
      <c r="H3" s="6"/>
      <c r="I3" s="12"/>
      <c r="J3" s="7"/>
      <c r="K3" s="12"/>
      <c r="L3" s="10"/>
      <c r="M3" s="10"/>
    </row>
    <row r="4" spans="1:16" ht="15.75" x14ac:dyDescent="0.25">
      <c r="A4" s="26" t="s">
        <v>26</v>
      </c>
      <c r="B4" s="26"/>
      <c r="C4" s="27"/>
      <c r="D4" s="28" t="s">
        <v>23</v>
      </c>
      <c r="E4" s="29"/>
      <c r="F4" s="30" t="s">
        <v>24</v>
      </c>
      <c r="G4" s="31"/>
      <c r="H4" s="32"/>
      <c r="I4" s="33" t="s">
        <v>25</v>
      </c>
      <c r="J4" s="34"/>
      <c r="K4" s="35"/>
      <c r="L4" s="9"/>
      <c r="M4" s="9"/>
    </row>
    <row r="5" spans="1:16" ht="42.75" customHeight="1" x14ac:dyDescent="0.25">
      <c r="A5" s="16">
        <f>COUNTA(InternshipTable[Company Name])</f>
        <v>3</v>
      </c>
      <c r="B5" s="16"/>
      <c r="C5" s="17"/>
      <c r="D5" s="18">
        <f>COUNTIF(InternshipTable[Status], "Interview")</f>
        <v>1</v>
      </c>
      <c r="E5" s="19"/>
      <c r="F5" s="20">
        <f>COUNTIF(InternshipTable[Status], "Accepted")</f>
        <v>1</v>
      </c>
      <c r="G5" s="21"/>
      <c r="H5" s="22"/>
      <c r="I5" s="23">
        <f>COUNTIF(InternshipTable[Status], "Rejected")</f>
        <v>1</v>
      </c>
      <c r="J5" s="24"/>
      <c r="K5" s="25"/>
      <c r="L5" s="9"/>
      <c r="M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P7" s="8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6" ht="21" x14ac:dyDescent="0.25">
      <c r="A9" s="36" t="s">
        <v>14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1:16" ht="15.75" x14ac:dyDescent="0.25">
      <c r="A10" s="37" t="s">
        <v>0</v>
      </c>
      <c r="B10" s="37" t="s">
        <v>1</v>
      </c>
      <c r="C10" s="38" t="s">
        <v>21</v>
      </c>
      <c r="D10" s="38" t="s">
        <v>2</v>
      </c>
      <c r="E10" s="38" t="s">
        <v>3</v>
      </c>
      <c r="F10" s="38" t="s">
        <v>4</v>
      </c>
      <c r="G10" s="38" t="s">
        <v>5</v>
      </c>
      <c r="H10" s="38" t="s">
        <v>8</v>
      </c>
      <c r="I10" s="38" t="s">
        <v>7</v>
      </c>
      <c r="J10" s="38" t="s">
        <v>6</v>
      </c>
      <c r="K10" s="38" t="s">
        <v>9</v>
      </c>
      <c r="L10" s="38" t="s">
        <v>10</v>
      </c>
      <c r="M10" s="38" t="s">
        <v>11</v>
      </c>
    </row>
    <row r="11" spans="1:16" x14ac:dyDescent="0.25">
      <c r="A11" s="1">
        <v>1</v>
      </c>
      <c r="B11" t="s">
        <v>18</v>
      </c>
      <c r="C11" s="1" t="s">
        <v>19</v>
      </c>
      <c r="D11" t="s">
        <v>31</v>
      </c>
      <c r="F11" s="1" t="s">
        <v>15</v>
      </c>
      <c r="G11" s="2">
        <v>46320</v>
      </c>
      <c r="H11" s="2">
        <f t="shared" ref="H11:H20" si="0">IF(G11="","",G11+7)</f>
        <v>46327</v>
      </c>
      <c r="I11" s="1" t="s">
        <v>22</v>
      </c>
    </row>
    <row r="12" spans="1:16" x14ac:dyDescent="0.25">
      <c r="A12" s="1">
        <v>2</v>
      </c>
      <c r="B12" t="s">
        <v>16</v>
      </c>
      <c r="C12" s="1" t="s">
        <v>19</v>
      </c>
      <c r="D12" t="s">
        <v>32</v>
      </c>
      <c r="F12" s="1"/>
      <c r="G12" s="2">
        <v>46320</v>
      </c>
      <c r="H12" s="2">
        <f t="shared" si="0"/>
        <v>46327</v>
      </c>
      <c r="I12" s="1" t="s">
        <v>23</v>
      </c>
    </row>
    <row r="13" spans="1:16" x14ac:dyDescent="0.25">
      <c r="A13" s="1">
        <v>3</v>
      </c>
      <c r="B13" t="s">
        <v>17</v>
      </c>
      <c r="C13" s="1" t="s">
        <v>20</v>
      </c>
      <c r="D13" t="s">
        <v>33</v>
      </c>
      <c r="F13" s="1"/>
      <c r="G13" s="2"/>
      <c r="H13" s="2" t="str">
        <f t="shared" si="0"/>
        <v/>
      </c>
      <c r="I13" s="1" t="s">
        <v>24</v>
      </c>
    </row>
    <row r="14" spans="1:16" x14ac:dyDescent="0.25">
      <c r="A14" s="1">
        <v>4</v>
      </c>
      <c r="C14" s="1"/>
      <c r="F14" s="1"/>
      <c r="G14" s="2"/>
      <c r="H14" s="2" t="str">
        <f t="shared" si="0"/>
        <v/>
      </c>
      <c r="I14" s="1" t="s">
        <v>25</v>
      </c>
    </row>
    <row r="15" spans="1:16" x14ac:dyDescent="0.25">
      <c r="A15" s="1">
        <v>5</v>
      </c>
      <c r="C15" s="1"/>
      <c r="F15" s="1"/>
      <c r="G15" s="2"/>
      <c r="H15" s="2" t="str">
        <f t="shared" si="0"/>
        <v/>
      </c>
      <c r="I15" s="1"/>
    </row>
    <row r="16" spans="1:16" x14ac:dyDescent="0.25">
      <c r="A16" s="1">
        <v>6</v>
      </c>
      <c r="C16" s="1"/>
      <c r="F16" s="1"/>
      <c r="G16" s="2"/>
      <c r="H16" s="2" t="str">
        <f t="shared" si="0"/>
        <v/>
      </c>
      <c r="I16" s="1"/>
    </row>
    <row r="17" spans="1:9" x14ac:dyDescent="0.25">
      <c r="A17" s="1">
        <v>7</v>
      </c>
      <c r="C17" s="1"/>
      <c r="F17" s="1"/>
      <c r="G17" s="2"/>
      <c r="H17" s="2" t="str">
        <f t="shared" si="0"/>
        <v/>
      </c>
      <c r="I17" s="1"/>
    </row>
    <row r="18" spans="1:9" x14ac:dyDescent="0.25">
      <c r="A18" s="1">
        <v>8</v>
      </c>
      <c r="C18" s="1"/>
      <c r="F18" s="1"/>
      <c r="G18" s="2"/>
      <c r="H18" s="2" t="str">
        <f t="shared" si="0"/>
        <v/>
      </c>
      <c r="I18" s="1"/>
    </row>
    <row r="19" spans="1:9" x14ac:dyDescent="0.25">
      <c r="A19" s="1">
        <v>9</v>
      </c>
      <c r="C19" s="1"/>
      <c r="F19" s="1"/>
      <c r="G19" s="2"/>
      <c r="H19" s="2" t="str">
        <f t="shared" si="0"/>
        <v/>
      </c>
      <c r="I19" s="1"/>
    </row>
    <row r="20" spans="1:9" x14ac:dyDescent="0.25">
      <c r="A20" s="1">
        <v>10</v>
      </c>
      <c r="C20" s="1"/>
      <c r="F20" s="1"/>
      <c r="G20" s="2"/>
      <c r="H20" s="2" t="str">
        <f t="shared" si="0"/>
        <v/>
      </c>
      <c r="I20" s="1"/>
    </row>
  </sheetData>
  <mergeCells count="11">
    <mergeCell ref="F4:H4"/>
    <mergeCell ref="F5:H5"/>
    <mergeCell ref="I5:K5"/>
    <mergeCell ref="I4:K4"/>
    <mergeCell ref="A1:E1"/>
    <mergeCell ref="A2:E2"/>
    <mergeCell ref="A9:M9"/>
    <mergeCell ref="A4:C4"/>
    <mergeCell ref="A5:C5"/>
    <mergeCell ref="D4:E4"/>
    <mergeCell ref="D5:E5"/>
  </mergeCells>
  <conditionalFormatting sqref="I11:I20">
    <cfRule type="cellIs" dxfId="5" priority="1" operator="equal">
      <formula>"Applied"</formula>
    </cfRule>
    <cfRule type="cellIs" dxfId="4" priority="2" operator="equal">
      <formula>"Applied"</formula>
    </cfRule>
    <cfRule type="cellIs" dxfId="3" priority="3" operator="equal">
      <formula>"Interview"</formula>
    </cfRule>
    <cfRule type="cellIs" dxfId="2" priority="4" operator="equal">
      <formula>"Rejected"</formula>
    </cfRule>
    <cfRule type="cellIs" dxfId="1" priority="5" operator="equal">
      <formula>"Accepted"</formula>
    </cfRule>
  </conditionalFormatting>
  <dataValidations count="3">
    <dataValidation type="list" allowBlank="1" showInputMessage="1" showErrorMessage="1" sqref="F11:F20" xr:uid="{B10CBB05-348B-40D3-86E9-6EA6A1D08496}">
      <formula1>"On-site,Hybrid,Remote"</formula1>
    </dataValidation>
    <dataValidation type="list" allowBlank="1" showInputMessage="1" showErrorMessage="1" sqref="I11:I20" xr:uid="{66D4B87D-546F-43D8-A625-BC8AC809AFEC}">
      <formula1>"Applied,Interview,Accepted,Rejected"</formula1>
    </dataValidation>
    <dataValidation type="list" allowBlank="1" showInputMessage="1" showErrorMessage="1" sqref="C11:C20" xr:uid="{57979439-5EE2-492B-9A5F-ED58AB81D53E}">
      <formula1>"Johor,Kedah,Kelantan,Kuala Lumpur,Labuan,Melaka,Negeri Sembilan,Pahang,Perak,Perlis,Pulau Pinang,Putrajaya,Sabah,Sarawak,Selangor,Terengganu"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NORAIMAN IKRAM BIN NORAMLI</dc:creator>
  <cp:lastModifiedBy>NORAIMAN IKRAM BIN NORAMLI</cp:lastModifiedBy>
  <dcterms:created xsi:type="dcterms:W3CDTF">2026-10-25T03:23:12Z</dcterms:created>
  <dcterms:modified xsi:type="dcterms:W3CDTF">2026-10-25T06:40:47Z</dcterms:modified>
</cp:coreProperties>
</file>